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Meeting Log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4" customWidth="1" min="4" max="4"/>
    <col width="14" customWidth="1" min="5" max="5"/>
    <col width="10" customWidth="1" min="6" max="6"/>
    <col width="14" customWidth="1" min="7" max="7"/>
    <col width="26" customWidth="1" min="8" max="8"/>
    <col width="12" customWidth="1" min="9" max="9"/>
    <col width="12" customWidth="1" min="10" max="10"/>
    <col width="3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0" customWidth="1" min="17" max="17"/>
    <col width="10" customWidth="1" min="18" max="18"/>
    <col width="10" customWidth="1" min="19" max="19"/>
    <col width="16" customWidth="1" min="20" max="20"/>
    <col width="14" customWidth="1" min="21" max="21"/>
    <col width="12" customWidth="1" min="22" max="22"/>
    <col width="32" customWidth="1" min="23" max="23"/>
    <col width="32" customWidth="1" min="24" max="24"/>
    <col width="46" customWidth="1" min="25" max="25"/>
    <col width="14" customWidth="1" min="26" max="26"/>
    <col width="30" customWidth="1" min="27" max="27"/>
    <col width="20" customWidth="1" min="28" max="28"/>
  </cols>
  <sheetData>
    <row r="1">
      <c r="A1" s="1" t="inlineStr">
        <is>
          <t>Customer</t>
        </is>
      </c>
      <c r="B1" s="1" t="inlineStr">
        <is>
          <t>Type</t>
        </is>
      </c>
      <c r="C1" s="1" t="inlineStr">
        <is>
          <t>CS Owner</t>
        </is>
      </c>
      <c r="D1" s="1" t="inlineStr">
        <is>
          <t>Contract Value (£)</t>
        </is>
      </c>
      <c r="E1" s="1" t="inlineStr">
        <is>
          <t>Contract Effective Date</t>
        </is>
      </c>
      <c r="F1" s="1" t="inlineStr">
        <is>
          <t>Term (months)</t>
        </is>
      </c>
      <c r="G1" s="1" t="inlineStr">
        <is>
          <t>Expansion Potential</t>
        </is>
      </c>
      <c r="H1" s="1" t="inlineStr">
        <is>
          <t>SOW Link</t>
        </is>
      </c>
      <c r="I1" s="1" t="inlineStr">
        <is>
          <t>Account Health</t>
        </is>
      </c>
      <c r="J1" s="1" t="inlineStr">
        <is>
          <t>Renewal Risk (Agent)</t>
        </is>
      </c>
      <c r="K1" s="1" t="inlineStr">
        <is>
          <t>Risk Rationale (Agent)</t>
        </is>
      </c>
      <c r="L1" s="1" t="inlineStr">
        <is>
          <t>Last QBR</t>
        </is>
      </c>
      <c r="M1" s="1" t="inlineStr">
        <is>
          <t>Renewal Date</t>
        </is>
      </c>
      <c r="N1" s="1" t="inlineStr">
        <is>
          <t>Days to Renewal</t>
        </is>
      </c>
      <c r="O1" s="1" t="inlineStr">
        <is>
          <t>90-Day Trigger</t>
        </is>
      </c>
      <c r="P1" s="1" t="inlineStr">
        <is>
          <t>Renewal Status</t>
        </is>
      </c>
      <c r="Q1" s="1" t="inlineStr">
        <is>
          <t>Connected Assets</t>
        </is>
      </c>
      <c r="R1" s="1" t="inlineStr">
        <is>
          <t>Assets at Last Renewal</t>
        </is>
      </c>
      <c r="S1" s="1" t="inlineStr">
        <is>
          <t>Flex-Eligible Assets</t>
        </is>
      </c>
      <c r="T1" s="1" t="inlineStr">
        <is>
          <t>Flex Status</t>
        </is>
      </c>
      <c r="U1" s="1" t="inlineStr">
        <is>
          <t>Next Meeting</t>
        </is>
      </c>
      <c r="V1" s="1" t="inlineStr">
        <is>
          <t>Last Meeting Date</t>
        </is>
      </c>
      <c r="W1" s="1" t="inlineStr">
        <is>
          <t>Last Meeting Summary</t>
        </is>
      </c>
      <c r="X1" s="1" t="inlineStr">
        <is>
          <t>Outstanding Actions</t>
        </is>
      </c>
      <c r="Y1" s="1" t="inlineStr">
        <is>
          <t>Context - Current State (Agent, daily)</t>
        </is>
      </c>
      <c r="Z1" s="1" t="inlineStr">
        <is>
          <t>Context Updated</t>
        </is>
      </c>
      <c r="AA1" s="1" t="inlineStr">
        <is>
          <t>Notes &amp; Blockers</t>
        </is>
      </c>
      <c r="AB1" s="1" t="inlineStr">
        <is>
          <t>Last Alert Sent (system)</t>
        </is>
      </c>
    </row>
    <row r="2">
      <c r="A2" s="2" t="inlineStr">
        <is>
          <t>Cord</t>
        </is>
      </c>
      <c r="B2" s="2" t="inlineStr">
        <is>
          <t>WL</t>
        </is>
      </c>
      <c r="C2" s="2" t="inlineStr">
        <is>
          <t>Nick</t>
        </is>
      </c>
      <c r="D2" s="2" t="n"/>
      <c r="E2" s="3" t="n">
        <v>45623</v>
      </c>
      <c r="F2" s="2" t="n">
        <v>12</v>
      </c>
      <c r="G2" s="2" t="n"/>
      <c r="H2" s="2" t="n"/>
      <c r="I2" s="2" t="inlineStr">
        <is>
          <t>Green</t>
        </is>
      </c>
      <c r="J2" s="2" t="inlineStr">
        <is>
          <t>On Track</t>
        </is>
      </c>
      <c r="K2" s="4" t="inlineStr">
        <is>
          <t>Contract overdue</t>
        </is>
      </c>
      <c r="L2" s="2" t="n"/>
      <c r="M2" s="3" t="n">
        <v>45987</v>
      </c>
      <c r="N2" s="2">
        <f>IF(M2="","",M2-TODAY())</f>
        <v/>
      </c>
      <c r="O2" s="2">
        <f>IF(N2="","",IF(N2&lt;0,"OVERDUE",IF(N2&lt;=90,"YES","")))</f>
        <v/>
      </c>
      <c r="P2" s="2" t="inlineStr">
        <is>
          <t>Signed</t>
        </is>
      </c>
      <c r="Q2" s="2" t="n">
        <v>4936</v>
      </c>
      <c r="R2" s="2" t="n"/>
      <c r="S2" s="2" t="n"/>
      <c r="T2" s="2" t="inlineStr">
        <is>
          <t>Eligible - not enrolled</t>
        </is>
      </c>
      <c r="U2" s="2" t="n"/>
      <c r="V2" s="2" t="n"/>
      <c r="W2" s="4" t="n"/>
      <c r="X2" s="4" t="n"/>
      <c r="Y2" s="4" t="n"/>
      <c r="Z2" s="2" t="n"/>
      <c r="AA2" s="4" t="n"/>
      <c r="AB2" s="2" t="n"/>
    </row>
    <row r="3">
      <c r="A3" s="2" t="inlineStr">
        <is>
          <t>Cord (RAC)</t>
        </is>
      </c>
      <c r="B3" s="2" t="inlineStr">
        <is>
          <t>SO</t>
        </is>
      </c>
      <c r="C3" s="2" t="inlineStr">
        <is>
          <t>Al</t>
        </is>
      </c>
      <c r="D3" s="2" t="n"/>
      <c r="E3" s="2" t="n"/>
      <c r="F3" s="2" t="n"/>
      <c r="G3" s="2" t="n"/>
      <c r="H3" s="2" t="n"/>
      <c r="I3" s="2" t="inlineStr">
        <is>
          <t>Green</t>
        </is>
      </c>
      <c r="J3" s="2" t="inlineStr">
        <is>
          <t>On Track</t>
        </is>
      </c>
      <c r="K3" s="4" t="n"/>
      <c r="L3" s="2" t="n"/>
      <c r="M3" s="3" t="n">
        <v>46506</v>
      </c>
      <c r="N3" s="2">
        <f>IF(M3="","",M3-TODAY())</f>
        <v/>
      </c>
      <c r="O3" s="2">
        <f>IF(N3="","",IF(N3&lt;0,"OVERDUE",IF(N3&lt;=90,"YES","")))</f>
        <v/>
      </c>
      <c r="P3" s="2" t="inlineStr">
        <is>
          <t>Not started</t>
        </is>
      </c>
      <c r="Q3" s="2" t="n">
        <v>58</v>
      </c>
      <c r="R3" s="2" t="n"/>
      <c r="S3" s="2" t="n"/>
      <c r="T3" s="2" t="inlineStr">
        <is>
          <t>Eligible - not enrolled</t>
        </is>
      </c>
      <c r="U3" s="2" t="n"/>
      <c r="V3" s="2" t="n"/>
      <c r="W3" s="4" t="n"/>
      <c r="X3" s="4" t="n"/>
      <c r="Y3" s="4" t="n"/>
      <c r="Z3" s="2" t="n"/>
      <c r="AA3" s="4" t="n"/>
      <c r="AB3" s="2" t="n"/>
    </row>
    <row r="4">
      <c r="A4" s="2" t="inlineStr">
        <is>
          <t>Evtec</t>
        </is>
      </c>
      <c r="B4" s="2" t="inlineStr">
        <is>
          <t>WL</t>
        </is>
      </c>
      <c r="C4" s="2" t="inlineStr">
        <is>
          <t>Nick</t>
        </is>
      </c>
      <c r="D4" s="2" t="n"/>
      <c r="E4" s="3" t="n">
        <v>45583</v>
      </c>
      <c r="F4" s="2" t="n">
        <v>12</v>
      </c>
      <c r="G4" s="2" t="n"/>
      <c r="H4" s="2" t="n"/>
      <c r="I4" s="2" t="inlineStr">
        <is>
          <t>Green</t>
        </is>
      </c>
      <c r="J4" s="2" t="inlineStr">
        <is>
          <t>On Track</t>
        </is>
      </c>
      <c r="K4" s="4" t="n"/>
      <c r="L4" s="2" t="n"/>
      <c r="M4" s="3" t="n">
        <v>46518</v>
      </c>
      <c r="N4" s="2">
        <f>IF(M4="","",M4-TODAY())</f>
        <v/>
      </c>
      <c r="O4" s="2">
        <f>IF(N4="","",IF(N4&lt;0,"OVERDUE",IF(N4&lt;=90,"YES","")))</f>
        <v/>
      </c>
      <c r="P4" s="2" t="inlineStr">
        <is>
          <t>Signed</t>
        </is>
      </c>
      <c r="Q4" s="2" t="n">
        <v>63</v>
      </c>
      <c r="R4" s="2" t="n"/>
      <c r="S4" s="2" t="n"/>
      <c r="T4" s="2" t="inlineStr">
        <is>
          <t>TBC</t>
        </is>
      </c>
      <c r="U4" s="2" t="n"/>
      <c r="V4" s="2" t="n"/>
      <c r="W4" s="4" t="n"/>
      <c r="X4" s="4" t="n"/>
      <c r="Y4" s="4" t="n"/>
      <c r="Z4" s="2" t="n"/>
      <c r="AA4" s="4" t="n"/>
      <c r="AB4" s="2" t="n"/>
    </row>
    <row r="5">
      <c r="A5" s="2" t="inlineStr">
        <is>
          <t>Evtec (EON)</t>
        </is>
      </c>
      <c r="B5" s="2" t="inlineStr">
        <is>
          <t>SO</t>
        </is>
      </c>
      <c r="C5" s="2" t="inlineStr">
        <is>
          <t>Nick</t>
        </is>
      </c>
      <c r="D5" s="2" t="n"/>
      <c r="E5" s="2" t="n"/>
      <c r="F5" s="2" t="n"/>
      <c r="G5" s="2" t="n"/>
      <c r="H5" s="2" t="n"/>
      <c r="I5" s="2" t="inlineStr">
        <is>
          <t>Green</t>
        </is>
      </c>
      <c r="J5" s="2" t="inlineStr">
        <is>
          <t>On Track</t>
        </is>
      </c>
      <c r="K5" s="4" t="n"/>
      <c r="L5" s="2" t="n"/>
      <c r="M5" s="2" t="n"/>
      <c r="N5" s="2">
        <f>IF(M5="","",M5-TODAY())</f>
        <v/>
      </c>
      <c r="O5" s="2">
        <f>IF(N5="","",IF(N5&lt;0,"OVERDUE",IF(N5&lt;=90,"YES","")))</f>
        <v/>
      </c>
      <c r="P5" s="2" t="inlineStr">
        <is>
          <t>Not started</t>
        </is>
      </c>
      <c r="Q5" s="2" t="n">
        <v>0</v>
      </c>
      <c r="R5" s="2" t="n"/>
      <c r="S5" s="2" t="n"/>
      <c r="T5" s="2" t="inlineStr">
        <is>
          <t>TBC</t>
        </is>
      </c>
      <c r="U5" s="2" t="n"/>
      <c r="V5" s="2" t="n"/>
      <c r="W5" s="4" t="n"/>
      <c r="X5" s="4" t="n"/>
      <c r="Y5" s="4" t="n"/>
      <c r="Z5" s="2" t="n"/>
      <c r="AA5" s="4" t="n"/>
      <c r="AB5" s="2" t="n"/>
    </row>
    <row r="6">
      <c r="A6" s="2" t="inlineStr">
        <is>
          <t>Vorsprung</t>
        </is>
      </c>
      <c r="B6" s="2" t="inlineStr">
        <is>
          <t>PV</t>
        </is>
      </c>
      <c r="C6" s="2" t="inlineStr">
        <is>
          <t>Al</t>
        </is>
      </c>
      <c r="D6" s="2" t="n"/>
      <c r="E6" s="2" t="n"/>
      <c r="F6" s="2" t="n"/>
      <c r="G6" s="2" t="n"/>
      <c r="H6" s="2" t="n"/>
      <c r="I6" s="2" t="inlineStr">
        <is>
          <t>Green</t>
        </is>
      </c>
      <c r="J6" s="2" t="inlineStr">
        <is>
          <t>On Track</t>
        </is>
      </c>
      <c r="K6" s="4" t="n"/>
      <c r="L6" s="2" t="n"/>
      <c r="M6" s="3" t="n">
        <v>46368</v>
      </c>
      <c r="N6" s="2">
        <f>IF(M6="","",M6-TODAY())</f>
        <v/>
      </c>
      <c r="O6" s="2">
        <f>IF(N6="","",IF(N6&lt;0,"OVERDUE",IF(N6&lt;=90,"YES","")))</f>
        <v/>
      </c>
      <c r="P6" s="2" t="inlineStr">
        <is>
          <t>Not started</t>
        </is>
      </c>
      <c r="Q6" s="2" t="n">
        <v>232</v>
      </c>
      <c r="R6" s="2" t="n"/>
      <c r="S6" s="2" t="n"/>
      <c r="T6" s="2" t="inlineStr">
        <is>
          <t>TBC</t>
        </is>
      </c>
      <c r="U6" s="2" t="n"/>
      <c r="V6" s="2" t="n"/>
      <c r="W6" s="4" t="n"/>
      <c r="X6" s="4" t="n"/>
      <c r="Y6" s="4" t="n"/>
      <c r="Z6" s="2" t="n"/>
      <c r="AA6" s="4" t="n"/>
      <c r="AB6" s="2" t="n"/>
    </row>
    <row r="7">
      <c r="A7" s="2" t="inlineStr">
        <is>
          <t>Teltonika</t>
        </is>
      </c>
      <c r="B7" s="2" t="inlineStr">
        <is>
          <t>PV</t>
        </is>
      </c>
      <c r="C7" s="2" t="inlineStr">
        <is>
          <t>Al</t>
        </is>
      </c>
      <c r="D7" s="2" t="n"/>
      <c r="E7" s="2" t="n"/>
      <c r="F7" s="2" t="n"/>
      <c r="G7" s="2" t="n"/>
      <c r="H7" s="2" t="n"/>
      <c r="I7" s="2" t="inlineStr">
        <is>
          <t>Green</t>
        </is>
      </c>
      <c r="J7" s="2" t="inlineStr">
        <is>
          <t>On Track</t>
        </is>
      </c>
      <c r="K7" s="4" t="n"/>
      <c r="L7" s="2" t="n"/>
      <c r="M7" s="3" t="n">
        <v>46443</v>
      </c>
      <c r="N7" s="2">
        <f>IF(M7="","",M7-TODAY())</f>
        <v/>
      </c>
      <c r="O7" s="2">
        <f>IF(N7="","",IF(N7&lt;0,"OVERDUE",IF(N7&lt;=90,"YES","")))</f>
        <v/>
      </c>
      <c r="P7" s="2" t="inlineStr">
        <is>
          <t>Not started</t>
        </is>
      </c>
      <c r="Q7" s="2" t="n">
        <v>4</v>
      </c>
      <c r="R7" s="2" t="n"/>
      <c r="S7" s="2" t="n"/>
      <c r="T7" s="2" t="inlineStr">
        <is>
          <t>TBC</t>
        </is>
      </c>
      <c r="U7" s="2" t="n"/>
      <c r="V7" s="2" t="n"/>
      <c r="W7" s="4" t="n"/>
      <c r="X7" s="4" t="n"/>
      <c r="Y7" s="4" t="n"/>
      <c r="Z7" s="2" t="n"/>
      <c r="AA7" s="4" t="n"/>
      <c r="AB7" s="2" t="n"/>
    </row>
    <row r="8">
      <c r="A8" s="2" t="inlineStr">
        <is>
          <t>Evo</t>
        </is>
      </c>
      <c r="B8" s="2" t="inlineStr">
        <is>
          <t>PV</t>
        </is>
      </c>
      <c r="C8" s="2" t="inlineStr">
        <is>
          <t>Steve</t>
        </is>
      </c>
      <c r="D8" s="2" t="n"/>
      <c r="E8" s="2" t="n"/>
      <c r="F8" s="2" t="n"/>
      <c r="G8" s="2" t="n"/>
      <c r="H8" s="2" t="n"/>
      <c r="I8" s="2" t="inlineStr">
        <is>
          <t>Green</t>
        </is>
      </c>
      <c r="J8" s="2" t="inlineStr">
        <is>
          <t>On Track</t>
        </is>
      </c>
      <c r="K8" s="4" t="n"/>
      <c r="L8" s="2" t="n"/>
      <c r="M8" s="3" t="n">
        <v>46437</v>
      </c>
      <c r="N8" s="2">
        <f>IF(M8="","",M8-TODAY())</f>
        <v/>
      </c>
      <c r="O8" s="2">
        <f>IF(N8="","",IF(N8&lt;0,"OVERDUE",IF(N8&lt;=90,"YES","")))</f>
        <v/>
      </c>
      <c r="P8" s="2" t="inlineStr">
        <is>
          <t>Not started</t>
        </is>
      </c>
      <c r="Q8" s="2" t="n">
        <v>10</v>
      </c>
      <c r="R8" s="2" t="n"/>
      <c r="S8" s="2" t="n"/>
      <c r="T8" s="2" t="inlineStr">
        <is>
          <t>TBC</t>
        </is>
      </c>
      <c r="U8" s="2" t="n"/>
      <c r="V8" s="2" t="n"/>
      <c r="W8" s="4" t="n"/>
      <c r="X8" s="4" t="n"/>
      <c r="Y8" s="4" t="n"/>
      <c r="Z8" s="2" t="n"/>
      <c r="AA8" s="4" t="n"/>
      <c r="AB8" s="2" t="n"/>
    </row>
    <row r="9">
      <c r="A9" s="2" t="inlineStr">
        <is>
          <t>Go-E</t>
        </is>
      </c>
      <c r="B9" s="2" t="inlineStr">
        <is>
          <t>PV</t>
        </is>
      </c>
      <c r="C9" s="2" t="inlineStr">
        <is>
          <t>Steve</t>
        </is>
      </c>
      <c r="D9" s="2" t="n"/>
      <c r="E9" s="2" t="n"/>
      <c r="F9" s="2" t="n"/>
      <c r="G9" s="2" t="n"/>
      <c r="H9" s="2" t="n"/>
      <c r="I9" s="2" t="inlineStr">
        <is>
          <t>Green</t>
        </is>
      </c>
      <c r="J9" s="2" t="inlineStr">
        <is>
          <t>On Track</t>
        </is>
      </c>
      <c r="K9" s="4" t="n"/>
      <c r="L9" s="2" t="n"/>
      <c r="M9" s="3" t="n">
        <v>46506</v>
      </c>
      <c r="N9" s="2">
        <f>IF(M9="","",M9-TODAY())</f>
        <v/>
      </c>
      <c r="O9" s="2">
        <f>IF(N9="","",IF(N9&lt;0,"OVERDUE",IF(N9&lt;=90,"YES","")))</f>
        <v/>
      </c>
      <c r="P9" s="2" t="inlineStr">
        <is>
          <t>Not started</t>
        </is>
      </c>
      <c r="Q9" s="2" t="n">
        <v>0</v>
      </c>
      <c r="R9" s="2" t="n"/>
      <c r="S9" s="2" t="n"/>
      <c r="T9" s="2" t="inlineStr">
        <is>
          <t>TBC</t>
        </is>
      </c>
      <c r="U9" s="2" t="n"/>
      <c r="V9" s="2" t="n"/>
      <c r="W9" s="4" t="n"/>
      <c r="X9" s="4" t="n"/>
      <c r="Y9" s="4" t="n"/>
      <c r="Z9" s="2" t="n"/>
      <c r="AA9" s="4" t="n"/>
      <c r="AB9" s="2" t="n"/>
    </row>
    <row r="10">
      <c r="A10" s="2" t="inlineStr">
        <is>
          <t>ENSmart</t>
        </is>
      </c>
      <c r="B10" s="2" t="inlineStr">
        <is>
          <t>WL</t>
        </is>
      </c>
      <c r="C10" s="2" t="inlineStr">
        <is>
          <t>Steve</t>
        </is>
      </c>
      <c r="D10" s="2" t="n"/>
      <c r="E10" s="2" t="n"/>
      <c r="F10" s="2" t="n"/>
      <c r="G10" s="2" t="n"/>
      <c r="H10" s="2" t="n"/>
      <c r="I10" s="2" t="inlineStr">
        <is>
          <t>Green</t>
        </is>
      </c>
      <c r="J10" s="2" t="inlineStr">
        <is>
          <t>On Track</t>
        </is>
      </c>
      <c r="K10" s="4" t="n"/>
      <c r="L10" s="2" t="n"/>
      <c r="M10" s="2" t="n"/>
      <c r="N10" s="2">
        <f>IF(M10="","",M10-TODAY())</f>
        <v/>
      </c>
      <c r="O10" s="2">
        <f>IF(N10="","",IF(N10&lt;0,"OVERDUE",IF(N10&lt;=90,"YES","")))</f>
        <v/>
      </c>
      <c r="P10" s="2" t="inlineStr">
        <is>
          <t>Not started</t>
        </is>
      </c>
      <c r="Q10" s="2" t="n">
        <v>2</v>
      </c>
      <c r="R10" s="2" t="n"/>
      <c r="S10" s="2" t="n"/>
      <c r="T10" s="2" t="inlineStr">
        <is>
          <t>TBC</t>
        </is>
      </c>
      <c r="U10" s="2" t="n"/>
      <c r="V10" s="2" t="n"/>
      <c r="W10" s="4" t="n"/>
      <c r="X10" s="4" t="n"/>
      <c r="Y10" s="4" t="n"/>
      <c r="Z10" s="2" t="n"/>
      <c r="AA10" s="4" t="n"/>
      <c r="AB10" s="2" t="n"/>
    </row>
    <row r="11">
      <c r="A11" s="2" t="inlineStr">
        <is>
          <t>Garo</t>
        </is>
      </c>
      <c r="B11" s="2" t="inlineStr">
        <is>
          <t>PV</t>
        </is>
      </c>
      <c r="C11" s="2" t="inlineStr">
        <is>
          <t>Steve</t>
        </is>
      </c>
      <c r="D11" s="2" t="n"/>
      <c r="E11" s="2" t="n"/>
      <c r="F11" s="2" t="n"/>
      <c r="G11" s="2" t="n"/>
      <c r="H11" s="2" t="n"/>
      <c r="I11" s="2" t="inlineStr">
        <is>
          <t>Green</t>
        </is>
      </c>
      <c r="J11" s="2" t="inlineStr">
        <is>
          <t>On Track</t>
        </is>
      </c>
      <c r="K11" s="4" t="n"/>
      <c r="L11" s="2" t="n"/>
      <c r="M11" s="2" t="n"/>
      <c r="N11" s="2">
        <f>IF(M11="","",M11-TODAY())</f>
        <v/>
      </c>
      <c r="O11" s="2">
        <f>IF(N11="","",IF(N11&lt;0,"OVERDUE",IF(N11&lt;=90,"YES","")))</f>
        <v/>
      </c>
      <c r="P11" s="2" t="inlineStr">
        <is>
          <t>Not started</t>
        </is>
      </c>
      <c r="Q11" s="2" t="n">
        <v>0</v>
      </c>
      <c r="R11" s="2" t="n"/>
      <c r="S11" s="2" t="n"/>
      <c r="T11" s="2" t="inlineStr">
        <is>
          <t>TBC</t>
        </is>
      </c>
      <c r="U11" s="2" t="n"/>
      <c r="V11" s="2" t="n"/>
      <c r="W11" s="4" t="n"/>
      <c r="X11" s="4" t="n"/>
      <c r="Y11" s="4" t="n"/>
      <c r="Z11" s="2" t="n"/>
      <c r="AA11" s="4" t="n"/>
      <c r="AB11" s="2" t="n"/>
    </row>
    <row r="12">
      <c r="A12" s="2" t="inlineStr">
        <is>
          <t>Sevadis</t>
        </is>
      </c>
      <c r="B12" s="2" t="inlineStr">
        <is>
          <t>WL</t>
        </is>
      </c>
      <c r="C12" s="2" t="inlineStr">
        <is>
          <t>Steve</t>
        </is>
      </c>
      <c r="D12" s="2" t="n"/>
      <c r="E12" s="2" t="n"/>
      <c r="F12" s="2" t="n"/>
      <c r="G12" s="2" t="n"/>
      <c r="H12" s="2" t="n"/>
      <c r="I12" s="2" t="inlineStr">
        <is>
          <t>Green</t>
        </is>
      </c>
      <c r="J12" s="2" t="inlineStr">
        <is>
          <t>On Track</t>
        </is>
      </c>
      <c r="K12" s="4" t="n"/>
      <c r="L12" s="2" t="n"/>
      <c r="M12" s="2" t="n"/>
      <c r="N12" s="2">
        <f>IF(M12="","",M12-TODAY())</f>
        <v/>
      </c>
      <c r="O12" s="2">
        <f>IF(N12="","",IF(N12&lt;0,"OVERDUE",IF(N12&lt;=90,"YES","")))</f>
        <v/>
      </c>
      <c r="P12" s="2" t="inlineStr">
        <is>
          <t>Not started</t>
        </is>
      </c>
      <c r="Q12" s="2" t="n">
        <v>0</v>
      </c>
      <c r="R12" s="2" t="n"/>
      <c r="S12" s="2" t="n"/>
      <c r="T12" s="2" t="inlineStr">
        <is>
          <t>TBC</t>
        </is>
      </c>
      <c r="U12" s="2" t="n"/>
      <c r="V12" s="2" t="n"/>
      <c r="W12" s="4" t="n"/>
      <c r="X12" s="4" t="n"/>
      <c r="Y12" s="4" t="n"/>
      <c r="Z12" s="2" t="n"/>
      <c r="AA12" s="4" t="n"/>
      <c r="AB12" s="2" t="n"/>
    </row>
    <row r="13">
      <c r="A13" s="2" t="inlineStr">
        <is>
          <t>JPL Stevie</t>
        </is>
      </c>
      <c r="B13" s="2" t="inlineStr">
        <is>
          <t>WL</t>
        </is>
      </c>
      <c r="C13" s="2" t="inlineStr">
        <is>
          <t>Al</t>
        </is>
      </c>
      <c r="D13" s="2" t="n"/>
      <c r="E13" s="3" t="n">
        <v>45810</v>
      </c>
      <c r="F13" s="2" t="n">
        <v>12</v>
      </c>
      <c r="G13" s="2" t="n"/>
      <c r="H13" s="2" t="n"/>
      <c r="I13" s="2" t="inlineStr">
        <is>
          <t>Red</t>
        </is>
      </c>
      <c r="J13" s="2" t="inlineStr">
        <is>
          <t>At Risk</t>
        </is>
      </c>
      <c r="K13" s="4" t="n"/>
      <c r="L13" s="2" t="n"/>
      <c r="M13" s="3" t="n">
        <v>46419</v>
      </c>
      <c r="N13" s="2">
        <f>IF(M13="","",M13-TODAY())</f>
        <v/>
      </c>
      <c r="O13" s="2">
        <f>IF(N13="","",IF(N13&lt;0,"OVERDUE",IF(N13&lt;=90,"YES","")))</f>
        <v/>
      </c>
      <c r="P13" s="2" t="inlineStr">
        <is>
          <t>Not started</t>
        </is>
      </c>
      <c r="Q13" s="2" t="n">
        <v>10</v>
      </c>
      <c r="R13" s="2" t="n"/>
      <c r="S13" s="2" t="n"/>
      <c r="T13" s="2" t="inlineStr">
        <is>
          <t>TBC</t>
        </is>
      </c>
      <c r="U13" s="2" t="n"/>
      <c r="V13" s="2" t="n"/>
      <c r="W13" s="4" t="n"/>
      <c r="X13" s="4" t="n"/>
      <c r="Y13" s="4" t="n"/>
      <c r="Z13" s="2" t="n"/>
      <c r="AA13" s="4" t="n"/>
      <c r="AB13" s="2" t="n"/>
    </row>
    <row r="14">
      <c r="A14" s="2" t="inlineStr">
        <is>
          <t>WaEV</t>
        </is>
      </c>
      <c r="B14" s="2" t="inlineStr">
        <is>
          <t>WL</t>
        </is>
      </c>
      <c r="C14" s="2" t="inlineStr">
        <is>
          <t>Al</t>
        </is>
      </c>
      <c r="D14" s="2" t="n"/>
      <c r="E14" s="2" t="n"/>
      <c r="F14" s="2" t="n"/>
      <c r="G14" s="2" t="n"/>
      <c r="H14" s="2" t="n"/>
      <c r="I14" s="2" t="inlineStr">
        <is>
          <t>Red</t>
        </is>
      </c>
      <c r="J14" s="2" t="inlineStr">
        <is>
          <t>At Risk</t>
        </is>
      </c>
      <c r="K14" s="4" t="n"/>
      <c r="L14" s="2" t="n"/>
      <c r="M14" s="2" t="n"/>
      <c r="N14" s="2">
        <f>IF(M14="","",M14-TODAY())</f>
        <v/>
      </c>
      <c r="O14" s="2">
        <f>IF(N14="","",IF(N14&lt;0,"OVERDUE",IF(N14&lt;=90,"YES","")))</f>
        <v/>
      </c>
      <c r="P14" s="2" t="inlineStr">
        <is>
          <t>Not started</t>
        </is>
      </c>
      <c r="Q14" s="2" t="n">
        <v>13</v>
      </c>
      <c r="R14" s="2" t="n"/>
      <c r="S14" s="2" t="n"/>
      <c r="T14" s="2" t="inlineStr">
        <is>
          <t>TBC</t>
        </is>
      </c>
      <c r="U14" s="2" t="n"/>
      <c r="V14" s="2" t="n"/>
      <c r="W14" s="4" t="n"/>
      <c r="X14" s="4" t="n"/>
      <c r="Y14" s="4" t="n"/>
      <c r="Z14" s="2" t="n"/>
      <c r="AA14" s="4" t="n"/>
      <c r="AB14" s="2" t="n"/>
    </row>
    <row r="15">
      <c r="A15" s="2" t="inlineStr">
        <is>
          <t>Injet</t>
        </is>
      </c>
      <c r="B15" s="2" t="inlineStr">
        <is>
          <t>WL</t>
        </is>
      </c>
      <c r="C15" s="2" t="inlineStr">
        <is>
          <t>Al</t>
        </is>
      </c>
      <c r="D15" s="2" t="n"/>
      <c r="E15" s="3" t="n">
        <v>45877</v>
      </c>
      <c r="F15" s="2" t="n">
        <v>12</v>
      </c>
      <c r="G15" s="2" t="n"/>
      <c r="H15" s="2" t="n"/>
      <c r="I15" s="2" t="inlineStr">
        <is>
          <t>Red</t>
        </is>
      </c>
      <c r="J15" s="2" t="inlineStr">
        <is>
          <t>Watch</t>
        </is>
      </c>
      <c r="K15" s="4" t="n"/>
      <c r="L15" s="2" t="n"/>
      <c r="M15" s="2" t="n"/>
      <c r="N15" s="2">
        <f>IF(M15="","",M15-TODAY())</f>
        <v/>
      </c>
      <c r="O15" s="2">
        <f>IF(N15="","",IF(N15&lt;0,"OVERDUE",IF(N15&lt;=90,"YES","")))</f>
        <v/>
      </c>
      <c r="P15" s="2" t="inlineStr">
        <is>
          <t>Not started</t>
        </is>
      </c>
      <c r="Q15" s="2" t="n">
        <v>5</v>
      </c>
      <c r="R15" s="2" t="n"/>
      <c r="S15" s="2" t="n"/>
      <c r="T15" s="2" t="inlineStr">
        <is>
          <t>TBC</t>
        </is>
      </c>
      <c r="U15" s="2" t="n"/>
      <c r="V15" s="2" t="n"/>
      <c r="W15" s="4" t="n"/>
      <c r="X15" s="4" t="n"/>
      <c r="Y15" s="4" t="n"/>
      <c r="Z15" s="2" t="n"/>
      <c r="AA15" s="4" t="n"/>
      <c r="AB15" s="2" t="n"/>
    </row>
    <row r="16">
      <c r="A16" s="2" t="inlineStr">
        <is>
          <t>ChargedEV</t>
        </is>
      </c>
      <c r="B16" s="2" t="inlineStr">
        <is>
          <t>WL</t>
        </is>
      </c>
      <c r="C16" s="2" t="inlineStr">
        <is>
          <t>Al</t>
        </is>
      </c>
      <c r="D16" s="2" t="n"/>
      <c r="E16" s="2" t="n"/>
      <c r="F16" s="2" t="n"/>
      <c r="G16" s="2" t="n"/>
      <c r="H16" s="2" t="n"/>
      <c r="I16" s="2" t="inlineStr">
        <is>
          <t>Red</t>
        </is>
      </c>
      <c r="J16" s="2" t="inlineStr">
        <is>
          <t>At Risk</t>
        </is>
      </c>
      <c r="K16" s="4" t="inlineStr">
        <is>
          <t>Partner under closure</t>
        </is>
      </c>
      <c r="L16" s="2" t="n"/>
      <c r="M16" s="2" t="n"/>
      <c r="N16" s="2">
        <f>IF(M16="","",M16-TODAY())</f>
        <v/>
      </c>
      <c r="O16" s="2">
        <f>IF(N16="","",IF(N16&lt;0,"OVERDUE",IF(N16&lt;=90,"YES","")))</f>
        <v/>
      </c>
      <c r="P16" s="2" t="inlineStr">
        <is>
          <t>On Hold</t>
        </is>
      </c>
      <c r="Q16" s="2" t="n">
        <v>0</v>
      </c>
      <c r="R16" s="2" t="n"/>
      <c r="S16" s="2" t="n"/>
      <c r="T16" s="2" t="inlineStr">
        <is>
          <t>TBC</t>
        </is>
      </c>
      <c r="U16" s="2" t="n"/>
      <c r="V16" s="2" t="n"/>
      <c r="W16" s="4" t="n"/>
      <c r="X16" s="4" t="n"/>
      <c r="Y16" s="4" t="n"/>
      <c r="Z16" s="2" t="n"/>
      <c r="AA16" s="4" t="n"/>
      <c r="AB16" s="2" t="n"/>
    </row>
  </sheetData>
  <dataValidations count="5">
    <dataValidation sqref="B2:B100" showDropDown="0" showInputMessage="0" showErrorMessage="0" allowBlank="1" type="list">
      <formula1>"WL,PV,SO,D2C"</formula1>
    </dataValidation>
    <dataValidation sqref="I2:I100" showDropDown="0" showInputMessage="0" showErrorMessage="0" allowBlank="1" type="list">
      <formula1>"Green,Amber,Red"</formula1>
    </dataValidation>
    <dataValidation sqref="J2:J100" showDropDown="0" showInputMessage="0" showErrorMessage="0" allowBlank="1" type="list">
      <formula1>"Green,Amber,Red"</formula1>
    </dataValidation>
    <dataValidation sqref="P2:P100" showDropDown="0" showInputMessage="0" showErrorMessage="0" allowBlank="1" type="list">
      <formula1>"Not started,In conversation,Verbal commit,Signed,Lost,Churned,On Hold"</formula1>
    </dataValidation>
    <dataValidation sqref="T2:T100" showDropDown="0" showInputMessage="0" showErrorMessage="0" allowBlank="1" type="list">
      <formula1>"Active,Eligible - not enrolled,Not eligible,TBC"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4" customWidth="1" min="4" max="4"/>
    <col width="60" customWidth="1" min="5" max="5"/>
    <col width="50" customWidth="1" min="6" max="6"/>
    <col width="14" customWidth="1" min="7" max="7"/>
    <col width="12" customWidth="1" min="8" max="8"/>
  </cols>
  <sheetData>
    <row r="1">
      <c r="A1" s="5" t="inlineStr">
        <is>
          <t>Date</t>
        </is>
      </c>
      <c r="B1" s="5" t="inlineStr">
        <is>
          <t>Customer</t>
        </is>
      </c>
      <c r="C1" s="5" t="inlineStr">
        <is>
          <t>Meeting Type</t>
        </is>
      </c>
      <c r="D1" s="5" t="inlineStr">
        <is>
          <t>Attendees</t>
        </is>
      </c>
      <c r="E1" s="5" t="inlineStr">
        <is>
          <t>Summary</t>
        </is>
      </c>
      <c r="F1" s="5" t="inlineStr">
        <is>
          <t>Actions Agreed</t>
        </is>
      </c>
      <c r="G1" s="5" t="inlineStr">
        <is>
          <t>Action Owner</t>
        </is>
      </c>
      <c r="H1" s="5" t="inlineStr">
        <is>
          <t>Status</t>
        </is>
      </c>
    </row>
    <row r="2">
      <c r="A2" s="3" t="n">
        <v>46234</v>
      </c>
      <c r="B2" s="2" t="inlineStr">
        <is>
          <t>Sevadis</t>
        </is>
      </c>
      <c r="C2" s="2" t="inlineStr">
        <is>
          <t>Check-in</t>
        </is>
      </c>
      <c r="D2" s="2" t="inlineStr">
        <is>
          <t>Stephen, Jason Lindel</t>
        </is>
      </c>
      <c r="E2" s="2" t="inlineStr">
        <is>
          <t>EXAMPLE ROW - Apple account access issue outstanding; end-to-end testing planned once store access granted.</t>
        </is>
      </c>
      <c r="F2" s="2" t="inlineStr">
        <is>
          <t>Chase Apple account access with Jason; send email to Apple</t>
        </is>
      </c>
      <c r="G2" s="2" t="inlineStr">
        <is>
          <t>Stephen</t>
        </is>
      </c>
      <c r="H2" s="2" t="inlineStr">
        <is>
          <t>Open</t>
        </is>
      </c>
    </row>
  </sheetData>
  <dataValidations count="1">
    <dataValidation sqref="H2:H500" showDropDown="0" showInputMessage="0" showErrorMessage="0" allowBlank="1" type="list">
      <formula1>"Open,Done,Blocked"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56" customWidth="1" min="2" max="2"/>
  </cols>
  <sheetData>
    <row r="1">
      <c r="A1" s="5" t="inlineStr">
        <is>
          <t>Setting</t>
        </is>
      </c>
      <c r="B1" s="1" t="inlineStr">
        <is>
          <t>Value</t>
        </is>
      </c>
    </row>
    <row r="2">
      <c r="A2" s="2" t="inlineStr">
        <is>
          <t>Slack channel</t>
        </is>
      </c>
      <c r="B2" s="4" t="inlineStr">
        <is>
          <t>#cs-agent-alerts</t>
        </is>
      </c>
    </row>
    <row r="3">
      <c r="A3" s="2" t="inlineStr">
        <is>
          <t>Slack channel ID</t>
        </is>
      </c>
      <c r="B3" s="4" t="inlineStr">
        <is>
          <t>C0BMQ4PGDA7</t>
        </is>
      </c>
    </row>
    <row r="4">
      <c r="A4" s="2" t="inlineStr">
        <is>
          <t>Renewal warning window (days)</t>
        </is>
      </c>
      <c r="B4" s="4" t="n">
        <v>90</v>
      </c>
    </row>
    <row r="5">
      <c r="A5" s="2" t="inlineStr">
        <is>
          <t>Stale touchpoint threshold (days)</t>
        </is>
      </c>
      <c r="B5" s="4" t="n">
        <v>30</v>
      </c>
    </row>
    <row r="6">
      <c r="A6" s="2" t="inlineStr">
        <is>
          <t>Synthesis file name (Drive)</t>
        </is>
      </c>
      <c r="B6" s="4" t="inlineStr">
        <is>
          <t>cs-agent-synthesis.json</t>
        </is>
      </c>
    </row>
    <row r="7">
      <c r="A7" s="2" t="inlineStr">
        <is>
          <t>Agent run time</t>
        </is>
      </c>
      <c r="B7" s="4" t="inlineStr">
        <is>
          <t>07:00 UK, weekdays (Cowork scheduled task)</t>
        </is>
      </c>
    </row>
    <row r="8">
      <c r="A8" s="2" t="inlineStr">
        <is>
          <t>Apps Script trigger</t>
        </is>
      </c>
      <c r="B8" s="4" t="inlineStr">
        <is>
          <t>Daily 08:00-09:00 UK</t>
        </is>
      </c>
    </row>
    <row r="9">
      <c r="A9" s="2" t="inlineStr"/>
      <c r="B9" s="4" t="inlineStr"/>
    </row>
    <row r="10">
      <c r="A10" s="6" t="inlineStr">
        <is>
          <t>How this sheet works</t>
        </is>
      </c>
      <c r="B10" s="4" t="inlineStr"/>
    </row>
    <row r="11">
      <c r="A11" s="2" t="inlineStr">
        <is>
          <t>Grey columns J, K, Y, Z on Accounts</t>
        </is>
      </c>
      <c r="B11" s="4" t="inlineStr">
        <is>
          <t>Written automatically by the daily agent - do not edit by hand</t>
        </is>
      </c>
    </row>
    <row r="12">
      <c r="A12" s="2" t="inlineStr">
        <is>
          <t>SOW Link (column H)</t>
        </is>
      </c>
      <c r="B12" s="4" t="inlineStr">
        <is>
          <t>Paste the Google Drive link to each customer's Statement of Work - the agent reads it to evaluate Renewal Risk</t>
        </is>
      </c>
    </row>
    <row r="13">
      <c r="A13" s="2" t="inlineStr">
        <is>
          <t>Meeting Log</t>
        </is>
      </c>
      <c r="B13" s="4" t="inlineStr">
        <is>
          <t>Log meetings here; the agent uses Summary + Actions for morning briefs and context</t>
        </is>
      </c>
    </row>
    <row r="14">
      <c r="A14" s="2" t="inlineStr">
        <is>
          <t>Last Alert Sent (column AB)</t>
        </is>
      </c>
      <c r="B14" s="4" t="inlineStr">
        <is>
          <t>System column used by Apps Script to avoid duplicate alerts - do not 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2026-08-04T12:53:01Z</dcterms:created>
  <dcterms:modified xmlns:dcterms="http://purl.org/dc/terms/" xmlns:xsi="http://www.w3.org/2001/XMLSchema-instance" xsi:type="dcterms:W3CDTF">2026-08-04T12:53:01Z</dcterms:modified>
</cp:coreProperties>
</file>